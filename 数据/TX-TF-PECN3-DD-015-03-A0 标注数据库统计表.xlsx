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原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<sst xmlns="http://schemas.openxmlformats.org/spreadsheetml/2006/main" count="49" uniqueCount="49">
  <si>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标注数据库统计表</t>
  </si>
  <si>
    <t>TX-TF-PECN3-DD-015-03-A0</t>
  </si>
  <si>
    <r>
      <rPr>
        <sz val="11"/>
        <color theme="1"/>
        <rFont val="宋体"/>
        <charset val="134"/>
      </rPr>
      <t>统计人</t>
    </r>
  </si>
  <si>
    <t>钏兴炳</t>
  </si>
  <si>
    <r>
      <rPr>
        <sz val="11"/>
        <color theme="1"/>
        <rFont val="宋体"/>
        <charset val="134"/>
      </rPr>
      <t>统计日期</t>
    </r>
  </si>
  <si>
    <t>2023.1.18</t>
  </si>
  <si>
    <t>数据总量（序列）</t>
  </si>
  <si>
    <r>
      <rPr>
        <sz val="11"/>
        <color theme="1"/>
        <rFont val="宋体"/>
        <charset val="134"/>
      </rPr>
      <t>数据类型</t>
    </r>
  </si>
  <si>
    <t>胸部CTPA</t>
  </si>
  <si>
    <r>
      <rPr>
        <sz val="11"/>
        <color theme="1"/>
        <rFont val="宋体"/>
        <charset val="134"/>
      </rPr>
      <t>疾病构成</t>
    </r>
  </si>
  <si>
    <t>肺栓塞层阳性+阴性</t>
  </si>
  <si>
    <r>
      <rPr>
        <sz val="11"/>
        <color theme="1"/>
        <rFont val="宋体"/>
        <charset val="134"/>
      </rPr>
      <t>医院数量</t>
    </r>
  </si>
  <si>
    <t>标注数据库数据分布</t>
  </si>
  <si>
    <t>因素</t>
  </si>
  <si>
    <t>类别</t>
  </si>
  <si>
    <t>序列数</t>
  </si>
  <si>
    <t>占比</t>
  </si>
  <si>
    <t>性别</t>
  </si>
  <si>
    <t>F</t>
  </si>
  <si>
    <t>M</t>
  </si>
  <si>
    <t>年龄</t>
  </si>
  <si>
    <t>(0, 17]</t>
  </si>
  <si>
    <t>(17, 40]</t>
  </si>
  <si>
    <t>(40, 60]</t>
  </si>
  <si>
    <t>&gt;60</t>
  </si>
  <si>
    <t>设备</t>
  </si>
  <si>
    <t>GE MEDICAL SYSTEMS</t>
  </si>
  <si>
    <t>NMS</t>
  </si>
  <si>
    <t>Philips</t>
  </si>
  <si>
    <t>SIEMENS</t>
  </si>
  <si>
    <t>TOSHIBA</t>
  </si>
  <si>
    <t>UIH</t>
  </si>
  <si>
    <t>重建算法</t>
  </si>
  <si>
    <r>
      <rPr>
        <sz val="11"/>
        <color theme="1"/>
        <rFont val="Times New Roman"/>
        <charset val="134"/>
      </rPr>
      <t>C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</si>
  <si>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charset val="134"/>
      </rPr>
      <t>B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</si>
  <si>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charset val="134"/>
      </rPr>
      <t>STAND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</si>
  <si>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charset val="134"/>
      </rPr>
      <t>FC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</si>
  <si>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charset val="134"/>
      </rPr>
      <t>F</t>
    </r>
    <r>
      <rPr>
        <sz val="11"/>
        <color theme="1"/>
        <rFont val="等线"/>
        <charset val="134"/>
      </rPr>
      <t>系列</t>
    </r>
  </si>
  <si>
    <t>LUNG</t>
  </si>
  <si>
    <t>其他</t>
  </si>
  <si>
    <r>
      <rPr>
        <sz val="11"/>
        <color theme="1"/>
        <rFont val="Times New Roman"/>
        <charset val="134"/>
      </rPr>
      <t>I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</si>
  <si>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charset val="134"/>
      </rPr>
      <t>Q</t>
    </r>
    <r>
      <rPr>
        <sz val="11"/>
        <color theme="1"/>
        <rFont val="等线"/>
        <charset val="134"/>
      </rPr>
      <t>系列</t>
    </r>
  </si>
  <si>
    <r>
      <rPr>
        <sz val="11"/>
        <color theme="1"/>
        <rFont val="Times New Roman"/>
        <charset val="134"/>
      </rPr>
      <t>D</t>
    </r>
    <r>
      <rPr>
        <sz val="11"/>
        <color theme="1"/>
        <rFont val="等线"/>
        <charset val="134"/>
      </rPr>
      <t>系列</t>
    </r>
  </si>
  <si>
    <t>管电压</t>
  </si>
  <si>
    <t>层厚</t>
  </si>
  <si>
    <t>总计</t>
  </si>
  <si>
    <t/>
  </si>
  <si>
    <t>记录人</t>
  </si>
  <si>
    <t>审核人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</si>
</sst>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等线"/>
      <charset val="134"/>
      <scheme val="minor"/>
    </font>
    <font>
      <b/>
      <sz val="18"/>
      <color theme="1"/>
      <name val="宋体"/>
      <charset val="134"/>
    </font>
    <font>
      <b/>
      <sz val="18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宋体"/>
      <charset val="134"/>
    </font>
    <font>
      <sz val="11"/>
      <name val="Times New Roman"/>
      <charset val="134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sz val="11"/>
      <name val="等线"/>
      <charset val="134"/>
    </font>
    <font>
      <sz val="11"/>
      <color theme="1"/>
      <name val="等线"/>
      <charset val="134"/>
    </font>
    <font>
      <sz val="11"/>
      <color rgb="FF000000"/>
      <name val="宋体"/>
      <charset val="134"/>
    </font>
    <font>
      <sz val="11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0" applyNumberFormat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4" borderId="10" applyNumberFormat="0" applyAlignment="0" applyProtection="0">
      <alignment vertical="center"/>
    </xf>
    <xf numFmtId="0" fontId="24" fillId="5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43" fontId="3" fillId="0" borderId="3" xfId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0" fontId="12" fillId="0" borderId="3" xfId="0" applyNumberFormat="1" applyFont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zoomScale="85" zoomScaleNormal="85" workbookViewId="0">
      <selection activeCell="J39" sqref="J39"/>
    </sheetView>
  </sheetViews>
  <sheetFormatPr defaultColWidth="9" defaultRowHeight="19.9" customHeight="1" outlineLevelCol="3"/>
  <cols>
    <col min="1" max="1" width="23.5185185185185" customWidth="1"/>
    <col min="2" max="2" width="25.3425925925926" customWidth="1"/>
    <col min="3" max="3" width="24.5740740740741" customWidth="1"/>
    <col min="4" max="4" width="25.2222222222222" customWidth="1"/>
  </cols>
  <sheetData>
    <row r="1" ht="37.15" customHeight="1" spans="1:4">
      <c r="A1" s="1" t="s">
        <v>0</v>
      </c>
      <c r="B1" s="2"/>
      <c r="C1" s="2"/>
      <c r="D1" s="2"/>
    </row>
    <row r="2" ht="20.65" customHeight="1" spans="1:4">
      <c r="A2" s="3" t="s">
        <v>1</v>
      </c>
      <c r="B2" s="4"/>
      <c r="C2" s="4"/>
      <c r="D2" s="4"/>
    </row>
    <row r="3" ht="20.65" customHeight="1" spans="1:4">
      <c r="A3" s="5" t="s">
        <v>2</v>
      </c>
      <c r="B3" s="6" t="s">
        <v>3</v>
      </c>
      <c r="C3" s="7" t="s">
        <v>4</v>
      </c>
      <c r="D3" s="8" t="s">
        <v>5</v>
      </c>
    </row>
    <row r="4" ht="20.65" customHeight="1" spans="1:4">
      <c r="A4" s="9" t="s">
        <v>6</v>
      </c>
      <c r="B4" s="7">
        <v>6995</v>
      </c>
      <c r="C4" s="7" t="s">
        <v>7</v>
      </c>
      <c r="D4" s="9" t="s">
        <v>8</v>
      </c>
    </row>
    <row r="5" ht="31" customHeight="1" spans="1:4">
      <c r="A5" s="7" t="s">
        <v>9</v>
      </c>
      <c r="B5" s="10" t="s">
        <v>10</v>
      </c>
      <c r="C5" s="7" t="s">
        <v>11</v>
      </c>
      <c r="D5" s="7">
        <v>9</v>
      </c>
    </row>
    <row r="6" ht="35.25" customHeight="1" spans="1:4">
      <c r="A6" s="11" t="s">
        <v>12</v>
      </c>
      <c r="B6" s="12"/>
      <c r="C6" s="12"/>
      <c r="D6" s="12"/>
    </row>
    <row r="7" ht="20.65" customHeight="1" spans="1:4">
      <c r="A7" s="13" t="s">
        <v>13</v>
      </c>
      <c r="B7" s="14" t="s">
        <v>14</v>
      </c>
      <c r="C7" s="15" t="s">
        <v>15</v>
      </c>
      <c r="D7" s="16" t="s">
        <v>16</v>
      </c>
    </row>
    <row r="8" ht="20.65" customHeight="1" spans="1:4">
      <c r="A8" s="17" t="s">
        <v>17</v>
      </c>
      <c r="B8" s="18" t="s">
        <v>18</v>
      </c>
      <c r="C8" s="7">
        <v>3819</v>
      </c>
      <c r="D8" s="19">
        <f>C8/$C$48</f>
        <v>0.545961401000715</v>
      </c>
    </row>
    <row r="9" ht="20.65" customHeight="1" spans="1:4">
      <c r="A9" s="17"/>
      <c r="B9" s="18" t="s">
        <v>19</v>
      </c>
      <c r="C9" s="7">
        <v>3176</v>
      </c>
      <c r="D9" s="19">
        <f t="shared" ref="D9:D48" si="0">C9/$C$48</f>
        <v>0.454038598999285</v>
      </c>
    </row>
    <row r="10" ht="20.65" customHeight="1" spans="1:4">
      <c r="A10" s="17" t="s">
        <v>20</v>
      </c>
      <c r="B10" s="18" t="s">
        <v>21</v>
      </c>
      <c r="C10" s="7">
        <v>36</v>
      </c>
      <c r="D10" s="19">
        <f t="shared" si="0"/>
        <v>0.00514653323802716</v>
      </c>
    </row>
    <row r="11" ht="20.65" customHeight="1" spans="1:4">
      <c r="A11" s="17"/>
      <c r="B11" s="18" t="s">
        <v>22</v>
      </c>
      <c r="C11" s="7">
        <v>503</v>
      </c>
      <c r="D11" s="19">
        <f t="shared" si="0"/>
        <v>0.0719085060757684</v>
      </c>
    </row>
    <row r="12" ht="20.65" customHeight="1" spans="1:4">
      <c r="A12" s="17"/>
      <c r="B12" s="18" t="s">
        <v>23</v>
      </c>
      <c r="C12" s="7">
        <v>2088</v>
      </c>
      <c r="D12" s="19">
        <f t="shared" si="0"/>
        <v>0.298498927805575</v>
      </c>
    </row>
    <row r="13" ht="20.65" customHeight="1" spans="1:4">
      <c r="A13" s="17"/>
      <c r="B13" s="18" t="s">
        <v>24</v>
      </c>
      <c r="C13" s="7">
        <v>4368</v>
      </c>
      <c r="D13" s="19">
        <f t="shared" si="0"/>
        <v>0.624446032880629</v>
      </c>
    </row>
    <row r="14" ht="20.65" customHeight="1" spans="1:4">
      <c r="A14" s="17" t="s">
        <v>25</v>
      </c>
      <c r="B14" s="18" t="s">
        <v>26</v>
      </c>
      <c r="C14" s="7">
        <v>881</v>
      </c>
      <c r="D14" s="19">
        <f t="shared" si="0"/>
        <v>0.125947105075054</v>
      </c>
    </row>
    <row r="15" ht="20.65" customHeight="1" spans="1:4">
      <c r="A15" s="17"/>
      <c r="B15" s="18" t="s">
        <v>27</v>
      </c>
      <c r="C15" s="7">
        <v>34</v>
      </c>
      <c r="D15" s="19">
        <f t="shared" si="0"/>
        <v>0.00486061472480343</v>
      </c>
    </row>
    <row r="16" ht="20.65" customHeight="1" spans="1:4">
      <c r="A16" s="17"/>
      <c r="B16" s="18" t="s">
        <v>28</v>
      </c>
      <c r="C16" s="7">
        <v>216</v>
      </c>
      <c r="D16" s="19">
        <f t="shared" si="0"/>
        <v>0.030879199428163</v>
      </c>
    </row>
    <row r="17" ht="20.65" customHeight="1" spans="1:4">
      <c r="A17" s="17"/>
      <c r="B17" s="18" t="s">
        <v>29</v>
      </c>
      <c r="C17" s="7">
        <v>5060</v>
      </c>
      <c r="D17" s="19">
        <f t="shared" si="0"/>
        <v>0.72337383845604</v>
      </c>
    </row>
    <row r="18" ht="20.65" customHeight="1" spans="1:4">
      <c r="A18" s="17"/>
      <c r="B18" s="18" t="s">
        <v>30</v>
      </c>
      <c r="C18" s="7">
        <v>713</v>
      </c>
      <c r="D18" s="19">
        <f t="shared" si="0"/>
        <v>0.10192994996426</v>
      </c>
    </row>
    <row r="19" ht="20.65" customHeight="1" spans="1:4">
      <c r="A19" s="17"/>
      <c r="B19" s="18" t="s">
        <v>31</v>
      </c>
      <c r="C19" s="7">
        <v>91</v>
      </c>
      <c r="D19" s="19">
        <f t="shared" si="0"/>
        <v>0.0130092923516798</v>
      </c>
    </row>
    <row r="20" ht="20.65" customHeight="1" spans="1:4">
      <c r="A20" s="20" t="s">
        <v>32</v>
      </c>
      <c r="B20" s="18" t="s">
        <v>33</v>
      </c>
      <c r="C20" s="7">
        <v>9</v>
      </c>
      <c r="D20" s="19">
        <f t="shared" si="0"/>
        <v>0.00128663330950679</v>
      </c>
    </row>
    <row r="21" ht="20.65" customHeight="1" spans="1:4">
      <c r="A21" s="21"/>
      <c r="B21" s="18" t="s">
        <v>34</v>
      </c>
      <c r="C21" s="7">
        <v>4692</v>
      </c>
      <c r="D21" s="19">
        <f t="shared" si="0"/>
        <v>0.670764832022874</v>
      </c>
    </row>
    <row r="22" ht="20.65" customHeight="1" spans="1:4">
      <c r="A22" s="21"/>
      <c r="B22" s="18" t="s">
        <v>35</v>
      </c>
      <c r="C22" s="7">
        <v>802</v>
      </c>
      <c r="D22" s="19">
        <f t="shared" si="0"/>
        <v>0.114653323802716</v>
      </c>
    </row>
    <row r="23" ht="20.65" customHeight="1" spans="1:4">
      <c r="A23" s="21"/>
      <c r="B23" s="18" t="s">
        <v>36</v>
      </c>
      <c r="C23" s="7">
        <v>713</v>
      </c>
      <c r="D23" s="19">
        <f t="shared" si="0"/>
        <v>0.10192994996426</v>
      </c>
    </row>
    <row r="24" ht="20.65" customHeight="1" spans="1:4">
      <c r="A24" s="21"/>
      <c r="B24" s="18" t="s">
        <v>37</v>
      </c>
      <c r="C24" s="7">
        <v>34</v>
      </c>
      <c r="D24" s="19">
        <f t="shared" si="0"/>
        <v>0.00486061472480343</v>
      </c>
    </row>
    <row r="25" ht="20.65" customHeight="1" spans="1:4">
      <c r="A25" s="21"/>
      <c r="B25" s="18" t="s">
        <v>38</v>
      </c>
      <c r="C25" s="7">
        <v>59</v>
      </c>
      <c r="D25" s="19">
        <f t="shared" si="0"/>
        <v>0.00843459614010007</v>
      </c>
    </row>
    <row r="26" ht="20.65" customHeight="1" spans="1:4">
      <c r="A26" s="21"/>
      <c r="B26" s="22" t="s">
        <v>39</v>
      </c>
      <c r="C26" s="7">
        <v>8</v>
      </c>
      <c r="D26" s="19">
        <f t="shared" si="0"/>
        <v>0.00114367405289492</v>
      </c>
    </row>
    <row r="27" ht="20.65" customHeight="1" spans="1:4">
      <c r="A27" s="21"/>
      <c r="B27" s="18" t="s">
        <v>40</v>
      </c>
      <c r="C27" s="7">
        <v>189</v>
      </c>
      <c r="D27" s="19">
        <f t="shared" si="0"/>
        <v>0.0270192994996426</v>
      </c>
    </row>
    <row r="28" ht="20.65" customHeight="1" spans="1:4">
      <c r="A28" s="21"/>
      <c r="B28" s="18" t="s">
        <v>41</v>
      </c>
      <c r="C28" s="7">
        <v>424</v>
      </c>
      <c r="D28" s="19">
        <f t="shared" si="0"/>
        <v>0.060614724803431</v>
      </c>
    </row>
    <row r="29" ht="20.65" customHeight="1" spans="1:4">
      <c r="A29" s="23"/>
      <c r="B29" s="18" t="s">
        <v>42</v>
      </c>
      <c r="C29" s="7">
        <v>65</v>
      </c>
      <c r="D29" s="19">
        <f t="shared" si="0"/>
        <v>0.00929235167977126</v>
      </c>
    </row>
    <row r="30" customHeight="1" spans="1:4">
      <c r="A30" s="20" t="s">
        <v>43</v>
      </c>
      <c r="B30" s="18">
        <v>70</v>
      </c>
      <c r="C30" s="7">
        <v>28</v>
      </c>
      <c r="D30" s="19">
        <f t="shared" si="0"/>
        <v>0.00400285918513224</v>
      </c>
    </row>
    <row r="31" customHeight="1" spans="1:4">
      <c r="A31" s="21"/>
      <c r="B31" s="18">
        <v>80</v>
      </c>
      <c r="C31" s="7">
        <v>72</v>
      </c>
      <c r="D31" s="19">
        <f t="shared" si="0"/>
        <v>0.0102930664760543</v>
      </c>
    </row>
    <row r="32" customHeight="1" spans="1:4">
      <c r="A32" s="21"/>
      <c r="B32" s="18">
        <v>90</v>
      </c>
      <c r="C32" s="7">
        <v>510</v>
      </c>
      <c r="D32" s="19">
        <f t="shared" si="0"/>
        <v>0.0729092208720515</v>
      </c>
    </row>
    <row r="33" customHeight="1" spans="1:4">
      <c r="A33" s="21"/>
      <c r="B33" s="18">
        <v>100</v>
      </c>
      <c r="C33" s="7">
        <v>3247</v>
      </c>
      <c r="D33" s="19">
        <f t="shared" si="0"/>
        <v>0.464188706218728</v>
      </c>
    </row>
    <row r="34" customHeight="1" spans="1:4">
      <c r="A34" s="21"/>
      <c r="B34" s="18">
        <v>110</v>
      </c>
      <c r="C34" s="7">
        <v>15</v>
      </c>
      <c r="D34" s="19">
        <f t="shared" si="0"/>
        <v>0.00214438884917798</v>
      </c>
    </row>
    <row r="35" customHeight="1" spans="1:4">
      <c r="A35" s="21"/>
      <c r="B35" s="18">
        <v>120</v>
      </c>
      <c r="C35" s="7">
        <v>2506</v>
      </c>
      <c r="D35" s="19">
        <f t="shared" si="0"/>
        <v>0.358255897069335</v>
      </c>
    </row>
    <row r="36" customHeight="1" spans="1:4">
      <c r="A36" s="21"/>
      <c r="B36" s="18">
        <v>140</v>
      </c>
      <c r="C36" s="7">
        <v>523</v>
      </c>
      <c r="D36" s="19">
        <f t="shared" si="0"/>
        <v>0.0747676912080057</v>
      </c>
    </row>
    <row r="37" customHeight="1" spans="1:4">
      <c r="A37" s="23"/>
      <c r="B37" s="18">
        <v>150</v>
      </c>
      <c r="C37" s="7">
        <v>94</v>
      </c>
      <c r="D37" s="19">
        <f t="shared" si="0"/>
        <v>0.0134381701215154</v>
      </c>
    </row>
    <row r="38" customHeight="1" spans="1:4">
      <c r="A38" s="20" t="s">
        <v>44</v>
      </c>
      <c r="B38" s="18">
        <v>0.5</v>
      </c>
      <c r="C38" s="7">
        <v>207</v>
      </c>
      <c r="D38" s="19">
        <f t="shared" si="0"/>
        <v>0.0295925661186562</v>
      </c>
    </row>
    <row r="39" customHeight="1" spans="1:4">
      <c r="A39" s="21"/>
      <c r="B39" s="18">
        <v>0.6</v>
      </c>
      <c r="C39" s="7">
        <v>43</v>
      </c>
      <c r="D39" s="19">
        <f t="shared" si="0"/>
        <v>0.00614724803431022</v>
      </c>
    </row>
    <row r="40" customHeight="1" spans="1:4">
      <c r="A40" s="21"/>
      <c r="B40" s="18">
        <v>0.625</v>
      </c>
      <c r="C40" s="7">
        <v>401</v>
      </c>
      <c r="D40" s="19">
        <f t="shared" si="0"/>
        <v>0.0573266619013581</v>
      </c>
    </row>
    <row r="41" customHeight="1" spans="1:4">
      <c r="A41" s="21"/>
      <c r="B41" s="18">
        <v>0.75</v>
      </c>
      <c r="C41" s="7">
        <v>442</v>
      </c>
      <c r="D41" s="19">
        <f t="shared" si="0"/>
        <v>0.0631879914224446</v>
      </c>
    </row>
    <row r="42" customHeight="1" spans="1:4">
      <c r="A42" s="21"/>
      <c r="B42" s="18">
        <v>0.8</v>
      </c>
      <c r="C42" s="7">
        <v>7</v>
      </c>
      <c r="D42" s="19">
        <f t="shared" si="0"/>
        <v>0.00100071479628306</v>
      </c>
    </row>
    <row r="43" customHeight="1" spans="1:4">
      <c r="A43" s="21"/>
      <c r="B43" s="18">
        <v>0.9</v>
      </c>
      <c r="C43" s="7">
        <v>37</v>
      </c>
      <c r="D43" s="19">
        <f t="shared" si="0"/>
        <v>0.00528949249463903</v>
      </c>
    </row>
    <row r="44" customHeight="1" spans="1:4">
      <c r="A44" s="21"/>
      <c r="B44" s="18">
        <v>1</v>
      </c>
      <c r="C44" s="7">
        <v>5309</v>
      </c>
      <c r="D44" s="19">
        <f t="shared" si="0"/>
        <v>0.758970693352395</v>
      </c>
    </row>
    <row r="45" customHeight="1" spans="1:4">
      <c r="A45" s="21"/>
      <c r="B45" s="18">
        <v>1.25</v>
      </c>
      <c r="C45" s="7">
        <v>485</v>
      </c>
      <c r="D45" s="19">
        <f t="shared" si="0"/>
        <v>0.0693352394567548</v>
      </c>
    </row>
    <row r="46" customHeight="1" spans="1:4">
      <c r="A46" s="21"/>
      <c r="B46" s="18">
        <v>1.5</v>
      </c>
      <c r="C46" s="7">
        <v>56</v>
      </c>
      <c r="D46" s="19">
        <f t="shared" si="0"/>
        <v>0.00800571837026447</v>
      </c>
    </row>
    <row r="47" customHeight="1" spans="1:4">
      <c r="A47" s="23"/>
      <c r="B47" s="18">
        <v>2</v>
      </c>
      <c r="C47" s="7">
        <v>8</v>
      </c>
      <c r="D47" s="19">
        <f t="shared" si="0"/>
        <v>0.00114367405289492</v>
      </c>
    </row>
    <row r="48" ht="30" customHeight="1" spans="1:4">
      <c r="A48" s="23" t="s">
        <v>45</v>
      </c>
      <c r="B48" s="24" t="s">
        <v>46</v>
      </c>
      <c r="C48" s="7">
        <v>6995</v>
      </c>
      <c r="D48" s="19">
        <f t="shared" si="0"/>
        <v>1</v>
      </c>
    </row>
    <row r="51" customHeight="1" spans="3:3">
      <c r="C51" t="s">
        <v>47</v>
      </c>
    </row>
    <row r="53" customHeight="1" spans="3:3">
      <c r="C53" t="s">
        <v>48</v>
      </c>
    </row>
  </sheetData>
  <mergeCells count="9">
    <mergeCell ref="A1:D1"/>
    <mergeCell ref="A2:D2"/>
    <mergeCell ref="A6:D6"/>
    <mergeCell ref="A8:A9"/>
    <mergeCell ref="A10:A13"/>
    <mergeCell ref="A14:A19"/>
    <mergeCell ref="A20:A29"/>
    <mergeCell ref="A30:A37"/>
    <mergeCell ref="A38:A47"/>
  </mergeCells>
  <pageMargins left="0.7" right="0.7" top="0.75" bottom="0.75" header="0.3" footer="0.3"/>
  <pageSetup paperSize="9" fitToWidth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38D2BA-18DD-407B-9965-E84BBF99E5D9}"/>
</file>

<file path=customXml/itemProps2.xml><?xml version="1.0" encoding="utf-8"?>
<ds:datastoreItem xmlns:ds="http://schemas.openxmlformats.org/officeDocument/2006/customXml" ds:itemID="{C7CD0CF8-EE83-425E-99CE-453939AC2A8D}">
  <ds:schemaRefs/>
</ds:datastoreItem>
</file>

<file path=customXml/itemProps3.xml><?xml version="1.0" encoding="utf-8"?>
<ds:datastoreItem xmlns:ds="http://schemas.openxmlformats.org/officeDocument/2006/customXml" ds:itemID="{B219C1FC-DB16-493E-B87B-97B7686E23E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宋晓媛</dc:creator>
  <cp:lastModifiedBy>孙蒙蒙</cp:lastModifiedBy>
  <dcterms:created xsi:type="dcterms:W3CDTF">2021-09-07T09:21:00Z</dcterms:created>
  <dcterms:modified xsi:type="dcterms:W3CDTF">2024-03-25T07:25:19Z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0x0101007E55CB5C5F613543B2462851545DCF55</vt:lpwstr>
  </property>
  <property fmtid="{D5CDD505-2E9C-101B-9397-08002B2CF9AE}" pid="3" name="ICV">
    <vt:lpwstr>FAA756C4BE20450F8408EF06FF47F277_13</vt:lpwstr>
  </property>
  <property fmtid="{D5CDD505-2E9C-101B-9397-08002B2CF9AE}" pid="4" name="KSOProductBuildVer">
    <vt:lpwstr>2052-12.1.0.16388</vt:lpwstr>
  </property>
</Properties>
</file>